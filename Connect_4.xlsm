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liot\Downloads\"/>
    </mc:Choice>
  </mc:AlternateContent>
  <bookViews>
    <workbookView xWindow="0" yWindow="0" windowWidth="28800" windowHeight="12300"/>
  </bookViews>
  <sheets>
    <sheet name="Menu" sheetId="2" r:id="rId1"/>
    <sheet name="JEU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1" l="1"/>
  <c r="R31" i="1"/>
  <c r="T31" i="1" s="1"/>
  <c r="R30" i="1"/>
  <c r="T30" i="1" s="1"/>
  <c r="R29" i="1"/>
  <c r="S29" i="1" s="1"/>
  <c r="R28" i="1"/>
  <c r="S28" i="1" s="1"/>
  <c r="R27" i="1"/>
  <c r="S27" i="1" s="1"/>
  <c r="R26" i="1"/>
  <c r="T26" i="1" s="1"/>
  <c r="R25" i="1"/>
  <c r="S25" i="1" s="1"/>
  <c r="C26" i="1"/>
  <c r="D26" i="1"/>
  <c r="D6" i="1" s="1"/>
  <c r="E26" i="1"/>
  <c r="E6" i="1" s="1"/>
  <c r="F26" i="1"/>
  <c r="F6" i="1" s="1"/>
  <c r="G26" i="1"/>
  <c r="G6" i="1" s="1"/>
  <c r="H26" i="1"/>
  <c r="H6" i="1" s="1"/>
  <c r="I26" i="1"/>
  <c r="I6" i="1" s="1"/>
  <c r="D27" i="1"/>
  <c r="D7" i="1" s="1"/>
  <c r="E27" i="1"/>
  <c r="E7" i="1" s="1"/>
  <c r="F27" i="1"/>
  <c r="F7" i="1" s="1"/>
  <c r="G27" i="1"/>
  <c r="G7" i="1" s="1"/>
  <c r="H27" i="1"/>
  <c r="H7" i="1" s="1"/>
  <c r="I27" i="1"/>
  <c r="I7" i="1" s="1"/>
  <c r="C28" i="1"/>
  <c r="D28" i="1"/>
  <c r="D8" i="1" s="1"/>
  <c r="E28" i="1"/>
  <c r="E8" i="1" s="1"/>
  <c r="F28" i="1"/>
  <c r="F8" i="1" s="1"/>
  <c r="G28" i="1"/>
  <c r="G8" i="1" s="1"/>
  <c r="H28" i="1"/>
  <c r="H8" i="1" s="1"/>
  <c r="I28" i="1"/>
  <c r="I8" i="1" s="1"/>
  <c r="C29" i="1"/>
  <c r="D29" i="1"/>
  <c r="D9" i="1" s="1"/>
  <c r="E29" i="1"/>
  <c r="E9" i="1" s="1"/>
  <c r="F29" i="1"/>
  <c r="F9" i="1" s="1"/>
  <c r="G29" i="1"/>
  <c r="G9" i="1" s="1"/>
  <c r="H29" i="1"/>
  <c r="H9" i="1" s="1"/>
  <c r="I29" i="1"/>
  <c r="I9" i="1" s="1"/>
  <c r="C30" i="1"/>
  <c r="D30" i="1"/>
  <c r="D10" i="1" s="1"/>
  <c r="E30" i="1"/>
  <c r="E10" i="1" s="1"/>
  <c r="F30" i="1"/>
  <c r="F10" i="1" s="1"/>
  <c r="G30" i="1"/>
  <c r="G10" i="1" s="1"/>
  <c r="H30" i="1"/>
  <c r="H10" i="1" s="1"/>
  <c r="I30" i="1"/>
  <c r="I10" i="1" s="1"/>
  <c r="D25" i="1"/>
  <c r="D5" i="1" s="1"/>
  <c r="E25" i="1"/>
  <c r="E5" i="1" s="1"/>
  <c r="F25" i="1"/>
  <c r="F5" i="1" s="1"/>
  <c r="G25" i="1"/>
  <c r="G5" i="1" s="1"/>
  <c r="H25" i="1"/>
  <c r="H5" i="1" s="1"/>
  <c r="I25" i="1"/>
  <c r="I5" i="1" s="1"/>
  <c r="C25" i="1"/>
  <c r="C5" i="1" l="1"/>
  <c r="O30" i="1"/>
  <c r="C8" i="1"/>
  <c r="O27" i="1"/>
  <c r="P27" i="1" s="1"/>
  <c r="C9" i="1"/>
  <c r="O26" i="1"/>
  <c r="C6" i="1"/>
  <c r="O29" i="1"/>
  <c r="C7" i="1"/>
  <c r="O28" i="1"/>
  <c r="C10" i="1"/>
  <c r="O25" i="1"/>
  <c r="P25" i="1" s="1"/>
  <c r="S30" i="1"/>
  <c r="T27" i="1"/>
  <c r="S26" i="1"/>
  <c r="X25" i="1"/>
  <c r="Y25" i="1" s="1"/>
  <c r="U27" i="1"/>
  <c r="X29" i="1"/>
  <c r="Z29" i="1" s="1"/>
  <c r="S31" i="1"/>
  <c r="T28" i="1"/>
  <c r="U28" i="1"/>
  <c r="X26" i="1"/>
  <c r="Z26" i="1" s="1"/>
  <c r="X30" i="1"/>
  <c r="Z30" i="1" s="1"/>
  <c r="T25" i="1"/>
  <c r="T29" i="1"/>
  <c r="U25" i="1"/>
  <c r="U29" i="1"/>
  <c r="X27" i="1"/>
  <c r="Y27" i="1" s="1"/>
  <c r="U26" i="1"/>
  <c r="U30" i="1"/>
  <c r="X28" i="1"/>
  <c r="Y28" i="1" s="1"/>
  <c r="M27" i="1"/>
  <c r="M26" i="1"/>
  <c r="S32" i="1" l="1"/>
  <c r="T32" i="1"/>
  <c r="Y26" i="1"/>
  <c r="Y29" i="1"/>
  <c r="Z25" i="1"/>
  <c r="Z27" i="1"/>
  <c r="W29" i="1"/>
  <c r="V29" i="1"/>
  <c r="V30" i="1"/>
  <c r="W30" i="1"/>
  <c r="W25" i="1"/>
  <c r="V25" i="1"/>
  <c r="Y30" i="1"/>
  <c r="Z28" i="1"/>
  <c r="V26" i="1"/>
  <c r="W26" i="1"/>
  <c r="V28" i="1"/>
  <c r="W28" i="1"/>
  <c r="W27" i="1"/>
  <c r="V27" i="1"/>
  <c r="Q27" i="1"/>
  <c r="Q30" i="1"/>
  <c r="P30" i="1"/>
  <c r="Q26" i="1"/>
  <c r="P26" i="1"/>
  <c r="Q25" i="1"/>
  <c r="P28" i="1"/>
  <c r="Q28" i="1"/>
  <c r="Q29" i="1"/>
  <c r="P29" i="1"/>
  <c r="M25" i="1"/>
  <c r="C32" i="1" l="1"/>
  <c r="N5" i="1"/>
  <c r="Y31" i="1"/>
  <c r="Q31" i="1"/>
  <c r="Z31" i="1"/>
  <c r="P31" i="1"/>
  <c r="V31" i="1"/>
  <c r="W31" i="1"/>
  <c r="D32" i="1"/>
  <c r="H32" i="1"/>
  <c r="E32" i="1"/>
  <c r="I32" i="1"/>
  <c r="F32" i="1"/>
  <c r="G32" i="1"/>
  <c r="M28" i="1" l="1"/>
  <c r="M29" i="1"/>
  <c r="L9" i="1" l="1"/>
</calcChain>
</file>

<file path=xl/sharedStrings.xml><?xml version="1.0" encoding="utf-8"?>
<sst xmlns="http://schemas.openxmlformats.org/spreadsheetml/2006/main" count="32" uniqueCount="26">
  <si>
    <t>Nom du joueur</t>
  </si>
  <si>
    <t></t>
  </si>
  <si>
    <t></t>
  </si>
  <si>
    <t>Colonne 1</t>
  </si>
  <si>
    <t>Colonne 2</t>
  </si>
  <si>
    <t>Colonne 3</t>
  </si>
  <si>
    <t>Colonne 4</t>
  </si>
  <si>
    <t>Colonne 5</t>
  </si>
  <si>
    <t>Colonne 6</t>
  </si>
  <si>
    <t>Colonne 7</t>
  </si>
  <si>
    <t>Nombre de tour</t>
  </si>
  <si>
    <t>Cumul des jeux</t>
  </si>
  <si>
    <t>Joueur en cours :</t>
  </si>
  <si>
    <t>Cumul joueur 1 :</t>
  </si>
  <si>
    <t>Cumul joueur 2 :</t>
  </si>
  <si>
    <t>Cas H</t>
  </si>
  <si>
    <t>Joueur 1</t>
  </si>
  <si>
    <t>Joueur 2</t>
  </si>
  <si>
    <t>Cas V</t>
  </si>
  <si>
    <t>Cas DD</t>
  </si>
  <si>
    <t>Cas DG</t>
  </si>
  <si>
    <t>Joueur 1 Gagnant:</t>
  </si>
  <si>
    <t>Joueur 2 Gagnant:</t>
  </si>
  <si>
    <t>Pion joueur 1</t>
  </si>
  <si>
    <t>Pion joueur 2</t>
  </si>
  <si>
    <t>PUISSANCE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</si>
</sst>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36"/>
      <color rgb="FFFF0000"/>
      <name val="Wingdings 2"/>
      <family val="1"/>
      <charset val="2"/>
    </font>
    <font>
      <sz val="36"/>
      <color rgb="FFFFFF00"/>
      <name val="Wingdings 2"/>
      <family val="1"/>
      <charset val="2"/>
    </font>
    <font>
      <b/>
      <sz val="36"/>
      <color theme="1"/>
      <name val="Wingdings 2"/>
      <family val="1"/>
      <charset val="2"/>
    </font>
    <font>
      <b/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rgb="FFFF0000"/>
      <name val="Arial Black"/>
      <family val="2"/>
    </font>
    <font>
      <sz val="28"/>
      <color theme="0"/>
      <name val="Bahnschrift Light"/>
      <family val="2"/>
    </font>
    <font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9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8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left" vertical="center" indent="1"/>
    </xf>
    <xf numFmtId="0" fontId="7" fillId="3" borderId="3" xfId="0" applyFont="1" applyFill="1" applyBorder="1" applyAlignment="1">
      <alignment horizontal="left" vertical="center" indent="1"/>
    </xf>
    <xf numFmtId="0" fontId="7" fillId="3" borderId="4" xfId="0" applyFont="1" applyFill="1" applyBorder="1" applyAlignment="1">
      <alignment horizontal="left" vertical="center" indent="1"/>
    </xf>
    <xf numFmtId="0" fontId="7" fillId="3" borderId="5" xfId="0" applyFont="1" applyFill="1" applyBorder="1" applyAlignment="1">
      <alignment horizontal="left" vertical="center" indent="1"/>
    </xf>
    <xf numFmtId="0" fontId="7" fillId="3" borderId="1" xfId="0" applyFont="1" applyFill="1" applyBorder="1" applyAlignment="1">
      <alignment horizontal="left" vertical="center" indent="1"/>
    </xf>
    <xf numFmtId="0" fontId="7" fillId="3" borderId="6" xfId="0" applyFont="1" applyFill="1" applyBorder="1" applyAlignment="1">
      <alignment horizontal="left" vertical="center" indent="1"/>
    </xf>
    <xf numFmtId="0" fontId="7" fillId="3" borderId="7" xfId="0" applyFont="1" applyFill="1" applyBorder="1" applyAlignment="1">
      <alignment horizontal="left" vertical="center" indent="1"/>
    </xf>
    <xf numFmtId="0" fontId="7" fillId="3" borderId="8" xfId="0" applyFont="1" applyFill="1" applyBorder="1" applyAlignment="1">
      <alignment horizontal="left" vertical="center" indent="1"/>
    </xf>
    <xf numFmtId="0" fontId="7" fillId="3" borderId="9" xfId="0" applyFont="1" applyFill="1" applyBorder="1" applyAlignment="1">
      <alignment horizontal="left" vertical="center" indent="1"/>
    </xf>
    <xf numFmtId="0" fontId="0" fillId="4" borderId="0" xfId="0" applyFill="1"/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11" fillId="4" borderId="16" xfId="0" applyFont="1" applyFill="1" applyBorder="1" applyAlignment="1">
      <alignment horizontal="center" vertical="center"/>
    </xf>
    <xf numFmtId="0" fontId="11" fillId="4" borderId="17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 indent="5"/>
    </xf>
    <xf numFmtId="0" fontId="6" fillId="2" borderId="0" xfId="0" applyFont="1" applyFill="1" applyAlignment="1">
      <alignment horizontal="left" vertical="center" indent="5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ont>
        <color rgb="FFFFFF00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b/>
        <i val="0"/>
        <color rgb="FFFFFF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13</xdr:row>
          <xdr:rowOff>28575</xdr:rowOff>
        </xdr:from>
        <xdr:to>
          <xdr:col>12</xdr:col>
          <xdr:colOff>190500</xdr:colOff>
          <xdr:row>20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</xdr:row>
      <xdr:rowOff>0</xdr:rowOff>
    </xdr:from>
    <xdr:to>
      <xdr:col>2</xdr:col>
      <xdr:colOff>590550</xdr:colOff>
      <xdr:row>3</xdr:row>
      <xdr:rowOff>104775</xdr:rowOff>
    </xdr:to>
    <xdr:sp macro="[0]!Colonne1" textlink="">
      <xdr:nvSpPr>
        <xdr:cNvPr id="2" name="Flèche vers le bas 1"/>
        <xdr:cNvSpPr/>
      </xdr:nvSpPr>
      <xdr:spPr>
        <a:xfrm>
          <a:off x="1905000" y="190500"/>
          <a:ext cx="304800" cy="485775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285750</xdr:colOff>
      <xdr:row>1</xdr:row>
      <xdr:rowOff>0</xdr:rowOff>
    </xdr:from>
    <xdr:to>
      <xdr:col>3</xdr:col>
      <xdr:colOff>590550</xdr:colOff>
      <xdr:row>3</xdr:row>
      <xdr:rowOff>104775</xdr:rowOff>
    </xdr:to>
    <xdr:sp macro="[0]!Colonne2" textlink="">
      <xdr:nvSpPr>
        <xdr:cNvPr id="3" name="Flèche vers le bas 2"/>
        <xdr:cNvSpPr/>
      </xdr:nvSpPr>
      <xdr:spPr>
        <a:xfrm>
          <a:off x="2762250" y="190500"/>
          <a:ext cx="304800" cy="485775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285750</xdr:colOff>
      <xdr:row>1</xdr:row>
      <xdr:rowOff>0</xdr:rowOff>
    </xdr:from>
    <xdr:to>
      <xdr:col>4</xdr:col>
      <xdr:colOff>590550</xdr:colOff>
      <xdr:row>3</xdr:row>
      <xdr:rowOff>104775</xdr:rowOff>
    </xdr:to>
    <xdr:sp macro="[0]!Colonne3" textlink="">
      <xdr:nvSpPr>
        <xdr:cNvPr id="4" name="Flèche vers le bas 3"/>
        <xdr:cNvSpPr/>
      </xdr:nvSpPr>
      <xdr:spPr>
        <a:xfrm>
          <a:off x="3619500" y="190500"/>
          <a:ext cx="304800" cy="485775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285750</xdr:colOff>
      <xdr:row>1</xdr:row>
      <xdr:rowOff>0</xdr:rowOff>
    </xdr:from>
    <xdr:to>
      <xdr:col>5</xdr:col>
      <xdr:colOff>590550</xdr:colOff>
      <xdr:row>3</xdr:row>
      <xdr:rowOff>104775</xdr:rowOff>
    </xdr:to>
    <xdr:sp macro="[0]!Colonne4" textlink="">
      <xdr:nvSpPr>
        <xdr:cNvPr id="5" name="Flèche vers le bas 4"/>
        <xdr:cNvSpPr/>
      </xdr:nvSpPr>
      <xdr:spPr>
        <a:xfrm>
          <a:off x="4476750" y="190500"/>
          <a:ext cx="304800" cy="485775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285750</xdr:colOff>
      <xdr:row>1</xdr:row>
      <xdr:rowOff>0</xdr:rowOff>
    </xdr:from>
    <xdr:to>
      <xdr:col>6</xdr:col>
      <xdr:colOff>590550</xdr:colOff>
      <xdr:row>3</xdr:row>
      <xdr:rowOff>104775</xdr:rowOff>
    </xdr:to>
    <xdr:sp macro="[0]!Colonne5" textlink="">
      <xdr:nvSpPr>
        <xdr:cNvPr id="6" name="Flèche vers le bas 5"/>
        <xdr:cNvSpPr/>
      </xdr:nvSpPr>
      <xdr:spPr>
        <a:xfrm>
          <a:off x="5334000" y="190500"/>
          <a:ext cx="304800" cy="485775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285750</xdr:colOff>
      <xdr:row>1</xdr:row>
      <xdr:rowOff>0</xdr:rowOff>
    </xdr:from>
    <xdr:to>
      <xdr:col>7</xdr:col>
      <xdr:colOff>590550</xdr:colOff>
      <xdr:row>3</xdr:row>
      <xdr:rowOff>104775</xdr:rowOff>
    </xdr:to>
    <xdr:sp macro="[0]!Colonne6" textlink="">
      <xdr:nvSpPr>
        <xdr:cNvPr id="7" name="Flèche vers le bas 6"/>
        <xdr:cNvSpPr/>
      </xdr:nvSpPr>
      <xdr:spPr>
        <a:xfrm>
          <a:off x="6191250" y="190500"/>
          <a:ext cx="304800" cy="485775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285750</xdr:colOff>
      <xdr:row>1</xdr:row>
      <xdr:rowOff>0</xdr:rowOff>
    </xdr:from>
    <xdr:to>
      <xdr:col>8</xdr:col>
      <xdr:colOff>590550</xdr:colOff>
      <xdr:row>3</xdr:row>
      <xdr:rowOff>104775</xdr:rowOff>
    </xdr:to>
    <xdr:sp macro="[0]!Colonne7" textlink="">
      <xdr:nvSpPr>
        <xdr:cNvPr id="8" name="Flèche vers le bas 7"/>
        <xdr:cNvSpPr/>
      </xdr:nvSpPr>
      <xdr:spPr>
        <a:xfrm>
          <a:off x="7048500" y="190500"/>
          <a:ext cx="304800" cy="485775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371475</xdr:colOff>
      <xdr:row>5</xdr:row>
      <xdr:rowOff>333375</xdr:rowOff>
    </xdr:from>
    <xdr:to>
      <xdr:col>18</xdr:col>
      <xdr:colOff>466725</xdr:colOff>
      <xdr:row>6</xdr:row>
      <xdr:rowOff>533400</xdr:rowOff>
    </xdr:to>
    <xdr:sp macro="[0]!NouvellePartie" textlink="">
      <xdr:nvSpPr>
        <xdr:cNvPr id="9" name="Rectangle à coins arrondis 8"/>
        <xdr:cNvSpPr/>
      </xdr:nvSpPr>
      <xdr:spPr>
        <a:xfrm>
          <a:off x="12182475" y="1962150"/>
          <a:ext cx="2381250" cy="10572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/>
            <a:t>Nouvelle</a:t>
          </a:r>
          <a:r>
            <a:rPr lang="fr-FR" sz="2400" b="1" baseline="0"/>
            <a:t> Partie</a:t>
          </a:r>
          <a:endParaRPr lang="fr-FR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I4:M8"/>
  <sheetViews>
    <sheetView tabSelected="1" workbookViewId="0">
      <selection activeCell="I4" sqref="I4:M8"/>
    </sheetView>
  </sheetViews>
  <sheetFormatPr baseColWidth="10" defaultRowHeight="15" x14ac:dyDescent="0.25"/>
  <cols>
    <col min="1" max="16384" width="11.42578125" style="20"/>
  </cols>
  <sheetData>
    <row r="4" spans="9:13" x14ac:dyDescent="0.25">
      <c r="I4" s="21" t="s">
        <v>25</v>
      </c>
      <c r="J4" s="22"/>
      <c r="K4" s="22"/>
      <c r="L4" s="22"/>
      <c r="M4" s="23"/>
    </row>
    <row r="5" spans="9:13" x14ac:dyDescent="0.25">
      <c r="I5" s="24"/>
      <c r="J5" s="25"/>
      <c r="K5" s="25"/>
      <c r="L5" s="25"/>
      <c r="M5" s="26"/>
    </row>
    <row r="6" spans="9:13" x14ac:dyDescent="0.25">
      <c r="I6" s="24"/>
      <c r="J6" s="25"/>
      <c r="K6" s="25"/>
      <c r="L6" s="25"/>
      <c r="M6" s="26"/>
    </row>
    <row r="7" spans="9:13" x14ac:dyDescent="0.25">
      <c r="I7" s="24"/>
      <c r="J7" s="25"/>
      <c r="K7" s="25"/>
      <c r="L7" s="25"/>
      <c r="M7" s="26"/>
    </row>
    <row r="8" spans="9:13" x14ac:dyDescent="0.25">
      <c r="I8" s="27"/>
      <c r="J8" s="28"/>
      <c r="K8" s="28"/>
      <c r="L8" s="28"/>
      <c r="M8" s="29"/>
    </row>
  </sheetData>
  <mergeCells count="1">
    <mergeCell ref="I4:M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">
                <anchor moveWithCells="1" sizeWithCells="1">
                  <from>
                    <xdr:col>8</xdr:col>
                    <xdr:colOff>638175</xdr:colOff>
                    <xdr:row>13</xdr:row>
                    <xdr:rowOff>28575</xdr:rowOff>
                  </from>
                  <to>
                    <xdr:col>12</xdr:col>
                    <xdr:colOff>190500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4:Z32"/>
  <sheetViews>
    <sheetView showGridLines="0" workbookViewId="0">
      <selection activeCell="A24" sqref="A24:XFD32"/>
    </sheetView>
  </sheetViews>
  <sheetFormatPr baseColWidth="10" defaultRowHeight="15" x14ac:dyDescent="0.25"/>
  <cols>
    <col min="1" max="1" width="20" style="1" customWidth="1"/>
    <col min="2" max="2" width="4.28515625" style="1" customWidth="1"/>
    <col min="3" max="9" width="12.85546875" style="1" customWidth="1"/>
    <col min="10" max="10" width="4.28515625" style="1" customWidth="1"/>
    <col min="11" max="13" width="11.42578125" style="1"/>
    <col min="14" max="14" width="12.85546875" style="1" customWidth="1"/>
    <col min="15" max="16384" width="11.42578125" style="1"/>
  </cols>
  <sheetData>
    <row r="4" spans="3:16" ht="15.75" thickBot="1" x14ac:dyDescent="0.3"/>
    <row r="5" spans="3:16" ht="67.5" customHeight="1" x14ac:dyDescent="0.25">
      <c r="C5" s="11" t="str">
        <f>IF(C25="","",IF(C25="1",$N$6,$N$7))</f>
        <v/>
      </c>
      <c r="D5" s="12" t="str">
        <f t="shared" ref="D5:I5" si="0">IF(D25="","",IF(D25="1",$N$6,$N$7))</f>
        <v/>
      </c>
      <c r="E5" s="12" t="str">
        <f t="shared" si="0"/>
        <v/>
      </c>
      <c r="F5" s="12" t="str">
        <f t="shared" si="0"/>
        <v/>
      </c>
      <c r="G5" s="12" t="str">
        <f t="shared" si="0"/>
        <v/>
      </c>
      <c r="H5" s="12" t="str">
        <f t="shared" si="0"/>
        <v/>
      </c>
      <c r="I5" s="13" t="str">
        <f t="shared" si="0"/>
        <v/>
      </c>
      <c r="L5" s="35" t="s">
        <v>0</v>
      </c>
      <c r="M5" s="35"/>
      <c r="N5" s="32" t="str">
        <f>"Joueur "&amp;M25</f>
        <v>Joueur 1</v>
      </c>
      <c r="O5" s="32"/>
      <c r="P5" s="2"/>
    </row>
    <row r="6" spans="3:16" ht="67.5" customHeight="1" x14ac:dyDescent="0.25">
      <c r="C6" s="14" t="str">
        <f t="shared" ref="C6:I6" si="1">IF(C26="","",IF(C26="1",$N$6,$N$7))</f>
        <v/>
      </c>
      <c r="D6" s="15" t="str">
        <f t="shared" si="1"/>
        <v/>
      </c>
      <c r="E6" s="15" t="str">
        <f t="shared" si="1"/>
        <v/>
      </c>
      <c r="F6" s="15" t="str">
        <f t="shared" si="1"/>
        <v/>
      </c>
      <c r="G6" s="15" t="str">
        <f t="shared" si="1"/>
        <v/>
      </c>
      <c r="H6" s="15" t="str">
        <f t="shared" si="1"/>
        <v/>
      </c>
      <c r="I6" s="16" t="str">
        <f t="shared" si="1"/>
        <v/>
      </c>
      <c r="L6" s="36" t="s">
        <v>23</v>
      </c>
      <c r="M6" s="36"/>
      <c r="N6" s="33" t="s">
        <v>1</v>
      </c>
      <c r="O6" s="33"/>
    </row>
    <row r="7" spans="3:16" ht="67.5" customHeight="1" x14ac:dyDescent="0.25">
      <c r="C7" s="14" t="str">
        <f t="shared" ref="C7:I7" si="2">IF(C27="","",IF(C27="1",$N$6,$N$7))</f>
        <v/>
      </c>
      <c r="D7" s="15" t="str">
        <f t="shared" si="2"/>
        <v/>
      </c>
      <c r="E7" s="15" t="str">
        <f t="shared" si="2"/>
        <v/>
      </c>
      <c r="F7" s="15" t="str">
        <f t="shared" si="2"/>
        <v/>
      </c>
      <c r="G7" s="15" t="str">
        <f t="shared" si="2"/>
        <v/>
      </c>
      <c r="H7" s="15" t="str">
        <f t="shared" si="2"/>
        <v/>
      </c>
      <c r="I7" s="16" t="str">
        <f t="shared" si="2"/>
        <v/>
      </c>
      <c r="L7" s="36" t="s">
        <v>24</v>
      </c>
      <c r="M7" s="36"/>
      <c r="N7" s="34" t="s">
        <v>2</v>
      </c>
      <c r="O7" s="34"/>
    </row>
    <row r="8" spans="3:16" ht="67.5" customHeight="1" x14ac:dyDescent="0.25">
      <c r="C8" s="14" t="str">
        <f t="shared" ref="C8:I8" si="3">IF(C28="","",IF(C28="1",$N$6,$N$7))</f>
        <v/>
      </c>
      <c r="D8" s="15" t="str">
        <f t="shared" si="3"/>
        <v/>
      </c>
      <c r="E8" s="15" t="str">
        <f t="shared" si="3"/>
        <v/>
      </c>
      <c r="F8" s="15" t="str">
        <f t="shared" si="3"/>
        <v/>
      </c>
      <c r="G8" s="15" t="str">
        <f t="shared" si="3"/>
        <v/>
      </c>
      <c r="H8" s="15" t="str">
        <f t="shared" si="3"/>
        <v/>
      </c>
      <c r="I8" s="16" t="str">
        <f t="shared" si="3"/>
        <v/>
      </c>
      <c r="L8" s="3"/>
      <c r="M8" s="3"/>
      <c r="N8" s="3"/>
      <c r="O8" s="3"/>
      <c r="P8" s="3"/>
    </row>
    <row r="9" spans="3:16" ht="66.75" customHeight="1" x14ac:dyDescent="0.25">
      <c r="C9" s="14" t="str">
        <f t="shared" ref="C9:I9" si="4">IF(C29="","",IF(C29="1",$N$6,$N$7))</f>
        <v/>
      </c>
      <c r="D9" s="15" t="str">
        <f t="shared" si="4"/>
        <v/>
      </c>
      <c r="E9" s="15" t="str">
        <f t="shared" si="4"/>
        <v/>
      </c>
      <c r="F9" s="15" t="str">
        <f t="shared" si="4"/>
        <v/>
      </c>
      <c r="G9" s="15" t="str">
        <f t="shared" si="4"/>
        <v/>
      </c>
      <c r="H9" s="15" t="str">
        <f t="shared" si="4"/>
        <v/>
      </c>
      <c r="I9" s="16" t="str">
        <f t="shared" si="4"/>
        <v/>
      </c>
      <c r="L9" s="31" t="str">
        <f>IF(M28&gt;0,"!!! Joueur 1 a gagné !!!",IF(M29&gt;0,"!!! Joueur 2 a gagné !!!",""))</f>
        <v/>
      </c>
      <c r="M9" s="31"/>
      <c r="N9" s="31"/>
      <c r="O9" s="31"/>
      <c r="P9" s="31"/>
    </row>
    <row r="10" spans="3:16" ht="67.5" customHeight="1" thickBot="1" x14ac:dyDescent="0.3">
      <c r="C10" s="17" t="str">
        <f t="shared" ref="C10:I10" si="5">IF(C30="","",IF(C30="1",$N$6,$N$7))</f>
        <v/>
      </c>
      <c r="D10" s="18" t="str">
        <f t="shared" si="5"/>
        <v/>
      </c>
      <c r="E10" s="18" t="str">
        <f t="shared" si="5"/>
        <v/>
      </c>
      <c r="F10" s="18" t="str">
        <f t="shared" si="5"/>
        <v/>
      </c>
      <c r="G10" s="18" t="str">
        <f t="shared" si="5"/>
        <v/>
      </c>
      <c r="H10" s="18" t="str">
        <f t="shared" si="5"/>
        <v/>
      </c>
      <c r="I10" s="19" t="str">
        <f t="shared" si="5"/>
        <v/>
      </c>
      <c r="L10" s="31"/>
      <c r="M10" s="31"/>
      <c r="N10" s="31"/>
      <c r="O10" s="31"/>
      <c r="P10" s="31"/>
    </row>
    <row r="24" spans="1:26" hidden="1" x14ac:dyDescent="0.25">
      <c r="B24" s="4"/>
      <c r="C24" s="5" t="s">
        <v>3</v>
      </c>
      <c r="D24" s="5" t="s">
        <v>4</v>
      </c>
      <c r="E24" s="5" t="s">
        <v>5</v>
      </c>
      <c r="F24" s="5" t="s">
        <v>6</v>
      </c>
      <c r="G24" s="5" t="s">
        <v>7</v>
      </c>
      <c r="H24" s="5" t="s">
        <v>8</v>
      </c>
      <c r="I24" s="5" t="s">
        <v>9</v>
      </c>
      <c r="O24" s="5" t="s">
        <v>15</v>
      </c>
      <c r="P24" s="5" t="s">
        <v>16</v>
      </c>
      <c r="Q24" s="5" t="s">
        <v>17</v>
      </c>
      <c r="R24" s="5" t="s">
        <v>18</v>
      </c>
      <c r="S24" s="5" t="s">
        <v>16</v>
      </c>
      <c r="T24" s="5" t="s">
        <v>17</v>
      </c>
      <c r="U24" s="5" t="s">
        <v>19</v>
      </c>
      <c r="V24" s="5" t="s">
        <v>16</v>
      </c>
      <c r="W24" s="5" t="s">
        <v>17</v>
      </c>
      <c r="X24" s="5" t="s">
        <v>20</v>
      </c>
      <c r="Y24" s="5" t="s">
        <v>16</v>
      </c>
      <c r="Z24" s="5" t="s">
        <v>17</v>
      </c>
    </row>
    <row r="25" spans="1:26" hidden="1" x14ac:dyDescent="0.25">
      <c r="B25" s="5">
        <v>6</v>
      </c>
      <c r="C25" s="6" t="str">
        <f>MID(C$31,$B25,1)</f>
        <v/>
      </c>
      <c r="D25" s="6" t="str">
        <f t="shared" ref="D25:I30" si="6">MID(D$31,$B25,1)</f>
        <v/>
      </c>
      <c r="E25" s="6" t="str">
        <f t="shared" si="6"/>
        <v/>
      </c>
      <c r="F25" s="6" t="str">
        <f t="shared" si="6"/>
        <v/>
      </c>
      <c r="G25" s="6" t="str">
        <f t="shared" si="6"/>
        <v/>
      </c>
      <c r="H25" s="6" t="str">
        <f t="shared" si="6"/>
        <v/>
      </c>
      <c r="I25" s="6" t="str">
        <f t="shared" si="6"/>
        <v/>
      </c>
      <c r="K25" s="30" t="s">
        <v>12</v>
      </c>
      <c r="L25" s="30"/>
      <c r="M25" s="5" t="str">
        <f>IF(M26&gt;M27,"2","1")</f>
        <v>1</v>
      </c>
      <c r="O25" s="6" t="str">
        <f>IF(C30=""," ",C30)&amp;IF(D30=""," ",D30)&amp;IF(E30=""," ",E30)&amp;IF(F30=""," ",F30)&amp;IF(G30=""," ",G30)&amp;IF(H30=""," ",H30)&amp;IF(I30=""," ",I30)</f>
        <v xml:space="preserve">       </v>
      </c>
      <c r="P25" s="7" t="b">
        <f>ISERR(SEARCH("1111",O25,1))</f>
        <v>1</v>
      </c>
      <c r="Q25" s="7" t="b">
        <f>ISERR(SEARCH("2222",O25,1))</f>
        <v>1</v>
      </c>
      <c r="R25" s="6">
        <f>C31</f>
        <v>0</v>
      </c>
      <c r="S25" s="7" t="b">
        <f>ISERR(SEARCH("1111",R25,1))</f>
        <v>1</v>
      </c>
      <c r="T25" s="7" t="b">
        <f>ISERR(SEARCH("2222",R25,1))</f>
        <v>1</v>
      </c>
      <c r="U25" s="6" t="str">
        <f>F30&amp;G29&amp;H28&amp;I27</f>
        <v/>
      </c>
      <c r="V25" s="7" t="b">
        <f>ISERR(SEARCH("1111",U25,1))</f>
        <v>1</v>
      </c>
      <c r="W25" s="7" t="b">
        <f>ISERR(SEARCH("2222",U25,1))</f>
        <v>1</v>
      </c>
      <c r="X25" s="6" t="str">
        <f>C27&amp;D28&amp;E29&amp;F30</f>
        <v/>
      </c>
      <c r="Y25" s="7" t="b">
        <f>ISERR(SEARCH("1111",X25,1))</f>
        <v>1</v>
      </c>
      <c r="Z25" s="7" t="b">
        <f>ISERR(SEARCH("2222",X25,1))</f>
        <v>1</v>
      </c>
    </row>
    <row r="26" spans="1:26" hidden="1" x14ac:dyDescent="0.25">
      <c r="B26" s="5">
        <v>5</v>
      </c>
      <c r="C26" s="6" t="str">
        <f t="shared" ref="C26:C30" si="7">MID(C$31,$B26,1)</f>
        <v/>
      </c>
      <c r="D26" s="6" t="str">
        <f t="shared" si="6"/>
        <v/>
      </c>
      <c r="E26" s="6" t="str">
        <f t="shared" si="6"/>
        <v/>
      </c>
      <c r="F26" s="6" t="str">
        <f t="shared" si="6"/>
        <v/>
      </c>
      <c r="G26" s="6" t="str">
        <f t="shared" si="6"/>
        <v/>
      </c>
      <c r="H26" s="6" t="str">
        <f t="shared" si="6"/>
        <v/>
      </c>
      <c r="I26" s="6" t="str">
        <f t="shared" si="6"/>
        <v/>
      </c>
      <c r="K26" s="30" t="s">
        <v>13</v>
      </c>
      <c r="L26" s="30"/>
      <c r="M26" s="4">
        <f>COUNTIF($C$25:$I$30,"1")</f>
        <v>0</v>
      </c>
      <c r="O26" s="6" t="str">
        <f>IF(C29=""," ",C29)&amp;IF(D29=""," ",D29)&amp;IF(E29=""," ",E29)&amp;IF(F29=""," ",F29)&amp;IF(G29=""," ",G29)&amp;IF(H29=""," ",H29)&amp;IF(I29=""," ",I29)</f>
        <v xml:space="preserve">       </v>
      </c>
      <c r="P26" s="7" t="b">
        <f t="shared" ref="P26:P30" si="8">ISERR(SEARCH("1111",O26,1))</f>
        <v>1</v>
      </c>
      <c r="Q26" s="7" t="b">
        <f t="shared" ref="Q26:Q30" si="9">ISERR(SEARCH("2222",O26,1))</f>
        <v>1</v>
      </c>
      <c r="R26" s="6">
        <f>D31</f>
        <v>0</v>
      </c>
      <c r="S26" s="7" t="b">
        <f t="shared" ref="S26:S30" si="10">ISERR(SEARCH("1111",R26,1))</f>
        <v>1</v>
      </c>
      <c r="T26" s="7" t="b">
        <f t="shared" ref="T26:T30" si="11">ISERR(SEARCH("2222",R26,1))</f>
        <v>1</v>
      </c>
      <c r="U26" s="6" t="str">
        <f>E30&amp;F29&amp;G28&amp;H27&amp;I26</f>
        <v/>
      </c>
      <c r="V26" s="7" t="b">
        <f t="shared" ref="V26:V30" si="12">ISERR(SEARCH("1111",U26,1))</f>
        <v>1</v>
      </c>
      <c r="W26" s="7" t="b">
        <f t="shared" ref="W26:W30" si="13">ISERR(SEARCH("2222",U26,1))</f>
        <v>1</v>
      </c>
      <c r="X26" s="6" t="str">
        <f>C26&amp;D27&amp;E28&amp;F29&amp;G30</f>
        <v/>
      </c>
      <c r="Y26" s="7" t="b">
        <f t="shared" ref="Y26:Y30" si="14">ISERR(SEARCH("1111",X26,1))</f>
        <v>1</v>
      </c>
      <c r="Z26" s="7" t="b">
        <f t="shared" ref="Z26:Z30" si="15">ISERR(SEARCH("2222",X26,1))</f>
        <v>1</v>
      </c>
    </row>
    <row r="27" spans="1:26" hidden="1" x14ac:dyDescent="0.25">
      <c r="B27" s="5">
        <v>4</v>
      </c>
      <c r="C27" s="6" t="str">
        <f t="shared" si="7"/>
        <v/>
      </c>
      <c r="D27" s="6" t="str">
        <f t="shared" si="6"/>
        <v/>
      </c>
      <c r="E27" s="6" t="str">
        <f t="shared" si="6"/>
        <v/>
      </c>
      <c r="F27" s="6" t="str">
        <f t="shared" si="6"/>
        <v/>
      </c>
      <c r="G27" s="6" t="str">
        <f t="shared" si="6"/>
        <v/>
      </c>
      <c r="H27" s="6" t="str">
        <f t="shared" si="6"/>
        <v/>
      </c>
      <c r="I27" s="6" t="str">
        <f t="shared" si="6"/>
        <v/>
      </c>
      <c r="K27" s="30" t="s">
        <v>14</v>
      </c>
      <c r="L27" s="30"/>
      <c r="M27" s="4">
        <f>COUNTIF($C$25:$I$30,"2")</f>
        <v>0</v>
      </c>
      <c r="O27" s="6" t="str">
        <f>IF(C28=""," ",C28)&amp;IF(D28=""," ",D28)&amp;IF(E28=""," ",E28)&amp;IF(F28=""," ",F28)&amp;IF(G28=""," ",G28)&amp;IF(H28=""," ",H28)&amp;IF(I28=""," ",I28)</f>
        <v xml:space="preserve">       </v>
      </c>
      <c r="P27" s="7" t="b">
        <f t="shared" si="8"/>
        <v>1</v>
      </c>
      <c r="Q27" s="7" t="b">
        <f t="shared" si="9"/>
        <v>1</v>
      </c>
      <c r="R27" s="6">
        <f>E31</f>
        <v>0</v>
      </c>
      <c r="S27" s="7" t="b">
        <f t="shared" si="10"/>
        <v>1</v>
      </c>
      <c r="T27" s="7" t="b">
        <f t="shared" si="11"/>
        <v>1</v>
      </c>
      <c r="U27" s="6" t="str">
        <f>D30&amp;E29&amp;F28&amp;G27&amp;H26&amp;I25</f>
        <v/>
      </c>
      <c r="V27" s="7" t="b">
        <f t="shared" si="12"/>
        <v>1</v>
      </c>
      <c r="W27" s="7" t="b">
        <f t="shared" si="13"/>
        <v>1</v>
      </c>
      <c r="X27" s="6" t="str">
        <f>C25&amp;D26&amp;E27&amp;F28&amp;G29&amp;H30</f>
        <v/>
      </c>
      <c r="Y27" s="7" t="b">
        <f t="shared" si="14"/>
        <v>1</v>
      </c>
      <c r="Z27" s="7" t="b">
        <f t="shared" si="15"/>
        <v>1</v>
      </c>
    </row>
    <row r="28" spans="1:26" hidden="1" x14ac:dyDescent="0.25">
      <c r="B28" s="5">
        <v>3</v>
      </c>
      <c r="C28" s="6" t="str">
        <f t="shared" si="7"/>
        <v/>
      </c>
      <c r="D28" s="6" t="str">
        <f t="shared" si="6"/>
        <v/>
      </c>
      <c r="E28" s="6" t="str">
        <f t="shared" si="6"/>
        <v/>
      </c>
      <c r="F28" s="6" t="str">
        <f t="shared" si="6"/>
        <v/>
      </c>
      <c r="G28" s="6" t="str">
        <f t="shared" si="6"/>
        <v/>
      </c>
      <c r="H28" s="6" t="str">
        <f t="shared" si="6"/>
        <v/>
      </c>
      <c r="I28" s="6" t="str">
        <f t="shared" si="6"/>
        <v/>
      </c>
      <c r="K28" s="30" t="s">
        <v>21</v>
      </c>
      <c r="L28" s="30"/>
      <c r="M28" s="8">
        <f>P31+S32+V31+Y31</f>
        <v>0</v>
      </c>
      <c r="O28" s="6" t="str">
        <f>IF(C27=""," ",C27)&amp;IF(D27=""," ",D27)&amp;IF(E27=""," ",E27)&amp;IF(F27=""," ",F27)&amp;IF(G27=""," ",G27)&amp;IF(H27=""," ",H27)&amp;IF(I27=""," ",I27)</f>
        <v xml:space="preserve">       </v>
      </c>
      <c r="P28" s="7" t="b">
        <f t="shared" si="8"/>
        <v>1</v>
      </c>
      <c r="Q28" s="7" t="b">
        <f t="shared" si="9"/>
        <v>1</v>
      </c>
      <c r="R28" s="6">
        <f>F31</f>
        <v>0</v>
      </c>
      <c r="S28" s="7" t="b">
        <f t="shared" si="10"/>
        <v>1</v>
      </c>
      <c r="T28" s="7" t="b">
        <f t="shared" si="11"/>
        <v>1</v>
      </c>
      <c r="U28" s="6" t="str">
        <f>C30&amp;D29&amp;E28&amp;F27&amp;G26&amp;H25</f>
        <v/>
      </c>
      <c r="V28" s="7" t="b">
        <f t="shared" si="12"/>
        <v>1</v>
      </c>
      <c r="W28" s="7" t="b">
        <f t="shared" si="13"/>
        <v>1</v>
      </c>
      <c r="X28" s="6" t="str">
        <f>D25&amp;E26&amp;F27&amp;G28&amp;H29&amp;I30</f>
        <v/>
      </c>
      <c r="Y28" s="7" t="b">
        <f t="shared" si="14"/>
        <v>1</v>
      </c>
      <c r="Z28" s="7" t="b">
        <f t="shared" si="15"/>
        <v>1</v>
      </c>
    </row>
    <row r="29" spans="1:26" hidden="1" x14ac:dyDescent="0.25">
      <c r="B29" s="5">
        <v>2</v>
      </c>
      <c r="C29" s="6" t="str">
        <f t="shared" si="7"/>
        <v/>
      </c>
      <c r="D29" s="6" t="str">
        <f t="shared" si="6"/>
        <v/>
      </c>
      <c r="E29" s="6" t="str">
        <f t="shared" si="6"/>
        <v/>
      </c>
      <c r="F29" s="6" t="str">
        <f t="shared" si="6"/>
        <v/>
      </c>
      <c r="G29" s="6" t="str">
        <f t="shared" si="6"/>
        <v/>
      </c>
      <c r="H29" s="6" t="str">
        <f t="shared" si="6"/>
        <v/>
      </c>
      <c r="I29" s="6" t="str">
        <f t="shared" si="6"/>
        <v/>
      </c>
      <c r="K29" s="30" t="s">
        <v>22</v>
      </c>
      <c r="L29" s="30"/>
      <c r="M29" s="8">
        <f>Q31+T32+W31+Z31</f>
        <v>0</v>
      </c>
      <c r="O29" s="6" t="str">
        <f>IF(C26=""," ",C26)&amp;IF(D26=""," ",D26)&amp;IF(E26=""," ",E26)&amp;IF(F26=""," ",F26)&amp;IF(G26=""," ",G26)&amp;IF(H26=""," ",H26)&amp;IF(I26=""," ",I26)</f>
        <v xml:space="preserve">       </v>
      </c>
      <c r="P29" s="7" t="b">
        <f t="shared" si="8"/>
        <v>1</v>
      </c>
      <c r="Q29" s="7" t="b">
        <f t="shared" si="9"/>
        <v>1</v>
      </c>
      <c r="R29" s="6">
        <f>G31</f>
        <v>0</v>
      </c>
      <c r="S29" s="7" t="b">
        <f t="shared" si="10"/>
        <v>1</v>
      </c>
      <c r="T29" s="7" t="b">
        <f t="shared" si="11"/>
        <v>1</v>
      </c>
      <c r="U29" s="6" t="str">
        <f>C29&amp;D28&amp;E27&amp;F26&amp;G25</f>
        <v/>
      </c>
      <c r="V29" s="7" t="b">
        <f t="shared" si="12"/>
        <v>1</v>
      </c>
      <c r="W29" s="7" t="b">
        <f t="shared" si="13"/>
        <v>1</v>
      </c>
      <c r="X29" s="6" t="str">
        <f>E25&amp;F26&amp;G27&amp;H28&amp;I29</f>
        <v/>
      </c>
      <c r="Y29" s="7" t="b">
        <f t="shared" si="14"/>
        <v>1</v>
      </c>
      <c r="Z29" s="7" t="b">
        <f t="shared" si="15"/>
        <v>1</v>
      </c>
    </row>
    <row r="30" spans="1:26" hidden="1" x14ac:dyDescent="0.25">
      <c r="B30" s="5">
        <v>1</v>
      </c>
      <c r="C30" s="6" t="str">
        <f t="shared" si="7"/>
        <v/>
      </c>
      <c r="D30" s="6" t="str">
        <f t="shared" si="6"/>
        <v/>
      </c>
      <c r="E30" s="6" t="str">
        <f t="shared" si="6"/>
        <v/>
      </c>
      <c r="F30" s="6" t="str">
        <f t="shared" si="6"/>
        <v/>
      </c>
      <c r="G30" s="6" t="str">
        <f t="shared" si="6"/>
        <v/>
      </c>
      <c r="H30" s="6" t="str">
        <f t="shared" si="6"/>
        <v/>
      </c>
      <c r="I30" s="6" t="str">
        <f t="shared" si="6"/>
        <v/>
      </c>
      <c r="O30" s="6" t="str">
        <f>IF(C25=""," ",C25)&amp;IF(D25=""," ",D25)&amp;IF(E25=""," ",E25)&amp;IF(F25=""," ",F25)&amp;IF(G25=""," ",G25)&amp;IF(H25=""," ",H25)&amp;IF(I25=""," ",I25)</f>
        <v xml:space="preserve">       </v>
      </c>
      <c r="P30" s="7" t="b">
        <f t="shared" si="8"/>
        <v>1</v>
      </c>
      <c r="Q30" s="7" t="b">
        <f t="shared" si="9"/>
        <v>1</v>
      </c>
      <c r="R30" s="6">
        <f>H31</f>
        <v>0</v>
      </c>
      <c r="S30" s="7" t="b">
        <f t="shared" si="10"/>
        <v>1</v>
      </c>
      <c r="T30" s="7" t="b">
        <f t="shared" si="11"/>
        <v>1</v>
      </c>
      <c r="U30" s="6" t="str">
        <f>C28&amp;D27&amp;E26&amp;F25</f>
        <v/>
      </c>
      <c r="V30" s="7" t="b">
        <f t="shared" si="12"/>
        <v>1</v>
      </c>
      <c r="W30" s="7" t="b">
        <f t="shared" si="13"/>
        <v>1</v>
      </c>
      <c r="X30" s="6" t="str">
        <f>F25&amp;G26&amp;H27&amp;I28</f>
        <v/>
      </c>
      <c r="Y30" s="7" t="b">
        <f t="shared" si="14"/>
        <v>1</v>
      </c>
      <c r="Z30" s="7" t="b">
        <f t="shared" si="15"/>
        <v>1</v>
      </c>
    </row>
    <row r="31" spans="1:26" hidden="1" x14ac:dyDescent="0.25">
      <c r="A31" s="1" t="s">
        <v>10</v>
      </c>
      <c r="B31" s="4"/>
      <c r="C31" s="9"/>
      <c r="D31" s="9"/>
      <c r="E31" s="9"/>
      <c r="F31" s="9"/>
      <c r="G31" s="9"/>
      <c r="H31" s="9"/>
      <c r="I31" s="9"/>
      <c r="P31" s="10">
        <f>COUNTIF(P25:P30,"FAUX")</f>
        <v>0</v>
      </c>
      <c r="Q31" s="10">
        <f>COUNTIF(Q25:Q30,"FAUX")</f>
        <v>0</v>
      </c>
      <c r="R31" s="6">
        <f>I31</f>
        <v>0</v>
      </c>
      <c r="S31" s="7" t="b">
        <f>ISERR(SEARCH("1111",R31,1))</f>
        <v>1</v>
      </c>
      <c r="T31" s="7" t="b">
        <f>ISERR(SEARCH("2222",R31,1))</f>
        <v>1</v>
      </c>
      <c r="V31" s="10">
        <f>COUNTIF(V25:V30,"FAUX")</f>
        <v>0</v>
      </c>
      <c r="W31" s="10">
        <f>COUNTIF(W25:W30,"FAUX")</f>
        <v>0</v>
      </c>
      <c r="Y31" s="10">
        <f>COUNTIF(Y25:Y30,"FAUX")</f>
        <v>0</v>
      </c>
      <c r="Z31" s="10">
        <f>COUNTIF(Z25:Z30,"FAUX")</f>
        <v>0</v>
      </c>
    </row>
    <row r="32" spans="1:26" hidden="1" x14ac:dyDescent="0.25">
      <c r="A32" s="1" t="s">
        <v>11</v>
      </c>
      <c r="C32" s="6" t="str">
        <f>C31&amp;$M$25</f>
        <v>1</v>
      </c>
      <c r="D32" s="6" t="str">
        <f t="shared" ref="D32:I32" si="16">D31&amp;$M$25</f>
        <v>1</v>
      </c>
      <c r="E32" s="6" t="str">
        <f t="shared" si="16"/>
        <v>1</v>
      </c>
      <c r="F32" s="6" t="str">
        <f t="shared" si="16"/>
        <v>1</v>
      </c>
      <c r="G32" s="6" t="str">
        <f t="shared" si="16"/>
        <v>1</v>
      </c>
      <c r="H32" s="6" t="str">
        <f t="shared" si="16"/>
        <v>1</v>
      </c>
      <c r="I32" s="6" t="str">
        <f t="shared" si="16"/>
        <v>1</v>
      </c>
      <c r="S32" s="10">
        <f>COUNTIF(S25:S31,"FAUX")</f>
        <v>0</v>
      </c>
      <c r="T32" s="10">
        <f>COUNTIF(T25:T31,"FAUX")</f>
        <v>0</v>
      </c>
    </row>
  </sheetData>
  <mergeCells count="12">
    <mergeCell ref="K28:L28"/>
    <mergeCell ref="K29:L29"/>
    <mergeCell ref="L9:P10"/>
    <mergeCell ref="N5:O5"/>
    <mergeCell ref="N6:O6"/>
    <mergeCell ref="N7:O7"/>
    <mergeCell ref="L5:M5"/>
    <mergeCell ref="L6:M6"/>
    <mergeCell ref="L7:M7"/>
    <mergeCell ref="K26:L26"/>
    <mergeCell ref="K27:L27"/>
    <mergeCell ref="K25:L25"/>
  </mergeCells>
  <conditionalFormatting sqref="C5:I10">
    <cfRule type="cellIs" dxfId="4" priority="4" operator="equal">
      <formula>$N$7</formula>
    </cfRule>
    <cfRule type="cellIs" dxfId="3" priority="5" operator="equal">
      <formula>$N$6</formula>
    </cfRule>
    <cfRule type="colorScale" priority="6">
      <colorScale>
        <cfvo type="min"/>
        <cfvo type="max"/>
        <color rgb="FFFF7128"/>
        <color rgb="FFFFEF9C"/>
      </colorScale>
    </cfRule>
  </conditionalFormatting>
  <conditionalFormatting sqref="N5:O5">
    <cfRule type="cellIs" dxfId="2" priority="2" operator="equal">
      <formula>"Joueur 2"</formula>
    </cfRule>
    <cfRule type="containsText" dxfId="1" priority="3" operator="containsText" text="Joueur 1">
      <formula>NOT(ISERROR(SEARCH("Joueur 1",N5)))</formula>
    </cfRule>
  </conditionalFormatting>
  <conditionalFormatting sqref="L9:P10">
    <cfRule type="containsText" dxfId="0" priority="1" operator="containsText" text="!!! Joueur 2 a gagné !!!">
      <formula>NOT(ISERROR(SEARCH("!!! Joueur 2 a gagné !!!",L9)))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Menu</vt:lpstr>
      <vt:lpstr>JEU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Eliott Coint</dc:creator>
  <cp:lastModifiedBy>Eliott Coint</cp:lastModifiedBy>
  <dcterms:created xsi:type="dcterms:W3CDTF">2020-11-22T12:48:50Z</dcterms:created>
  <dcterms:modified xsi:type="dcterms:W3CDTF">2021-01-07T10:30:51Z</dcterms:modified>
</cp:coreProperties>
</file>